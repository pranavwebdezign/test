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C:\Users\prana\Downloads\files\"/>
    </mc:Choice>
  </mc:AlternateContent>
  <xr:revisionPtr revIDLastSave="0" documentId="13_ncr:1_{473352B9-818D-4BE4-8382-E1424226E07C}" xr6:coauthVersionLast="43" xr6:coauthVersionMax="43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Detailed Estimation" sheetId="2" r:id="rId2"/>
    <sheet name="Sprint Plan" sheetId="3" r:id="rId3"/>
    <sheet name="Scope Decisions" sheetId="5" r:id="rId4"/>
    <sheet name="Subscription Tier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3" l="1"/>
  <c r="E7" i="3" s="1"/>
  <c r="E64" i="2"/>
</calcChain>
</file>

<file path=xl/sharedStrings.xml><?xml version="1.0" encoding="utf-8"?>
<sst xmlns="http://schemas.openxmlformats.org/spreadsheetml/2006/main" count="368" uniqueCount="264">
  <si>
    <t>WordPress Plugin — Quote Management Tool
Revised Estimation (70-Hour MVP + Homeowner Dashboard)</t>
  </si>
  <si>
    <t>Project</t>
  </si>
  <si>
    <t>Quote Management Tool — Custom WordPress Plugin</t>
  </si>
  <si>
    <t>Client / Owner</t>
  </si>
  <si>
    <t>ChangeFluent Ltd</t>
  </si>
  <si>
    <t>Primary Brand</t>
  </si>
  <si>
    <t>Fixdly.com  (reusable: LeafAndLush.com)</t>
  </si>
  <si>
    <t>Estimation Date</t>
  </si>
  <si>
    <t>27 Feb 2026</t>
  </si>
  <si>
    <t>Approach</t>
  </si>
  <si>
    <t>Custom WordPress plugin — no Google Docs / Zapier / SendGrid API for MVP</t>
  </si>
  <si>
    <t>PDF Generation</t>
  </si>
  <si>
    <t>Plugin-native (eliminates Google Docs dependency)</t>
  </si>
  <si>
    <t>Homeowner Access</t>
  </si>
  <si>
    <t>Guest query submission — no homeowner account required for MVP</t>
  </si>
  <si>
    <t>Subscription Model</t>
  </si>
  <si>
    <t>Starter: 10 quotes/mo · 5 iter max   |   Pro: 40 quotes/mo · 10 iter max</t>
  </si>
  <si>
    <t>Total Budget Cap</t>
  </si>
  <si>
    <t>70 hours</t>
  </si>
  <si>
    <t>Phase Summary — Hour Allocation (70-Hour MVP)</t>
  </si>
  <si>
    <t>Phase</t>
  </si>
  <si>
    <t>Module</t>
  </si>
  <si>
    <t>Hours</t>
  </si>
  <si>
    <t>P1</t>
  </si>
  <si>
    <t>Plugin Core, Data Model &amp; Subscription Tiers</t>
  </si>
  <si>
    <t>P2</t>
  </si>
  <si>
    <t>Trade Category &amp; Geo-Matching Engine</t>
  </si>
  <si>
    <t>P3</t>
  </si>
  <si>
    <t>Quote Builder (Tradesperson Toolbox)</t>
  </si>
  <si>
    <t>P4</t>
  </si>
  <si>
    <t>Homeowner Guest Query &amp; Quote Portal</t>
  </si>
  <si>
    <t>P5</t>
  </si>
  <si>
    <t>Amendment Engine &amp; Iteration Limit Control</t>
  </si>
  <si>
    <t>P6</t>
  </si>
  <si>
    <t>Versioning, Audit Trail &amp; Native PDF Export</t>
  </si>
  <si>
    <t>P7</t>
  </si>
  <si>
    <t>Stripe Deposit Payment Integration</t>
  </si>
  <si>
    <t>P8</t>
  </si>
  <si>
    <t>Email Notifications</t>
  </si>
  <si>
    <t>P9</t>
  </si>
  <si>
    <t>Trades Pipeline Dashboard</t>
  </si>
  <si>
    <t>P10</t>
  </si>
  <si>
    <t>P11</t>
  </si>
  <si>
    <t>QA, Testing &amp; Deployment</t>
  </si>
  <si>
    <t>TOTAL</t>
  </si>
  <si>
    <t>All Phases (11)</t>
  </si>
  <si>
    <t>✓  Total = 70 hours — within the 70-hour revised budget cap.</t>
  </si>
  <si>
    <t>ChangeFluent — Quote Management Tool  |  Detailed Estimation (70-Hr MVP)  |  Feb 2026</t>
  </si>
  <si>
    <t>#</t>
  </si>
  <si>
    <t>Feature / Module</t>
  </si>
  <si>
    <t>Scope (what is built)</t>
  </si>
  <si>
    <t xml:space="preserve">  PHASE 1 — Plugin Core, Data Model &amp; Subscription Tiers  [5 hrs]</t>
  </si>
  <si>
    <t>Plugin bootstrap &amp; CPT registration</t>
  </si>
  <si>
    <t>Plugin init, activation hooks, autoloader. CPTs: Quote, QuoteArea, Customer, TradeProfile, HomeownerQuery. Meta key definitions.</t>
  </si>
  <si>
    <t>Subscription tier config (Starter / Pro)</t>
  </si>
  <si>
    <t>PMS membership mapping: Starter → 10 quotes/mo, 5 iter max; Pro → 40 quotes/mo, 10 iter max. Enforce limits on quote creation and amendments.</t>
  </si>
  <si>
    <t>Branding &amp; multi-brand config layer</t>
  </si>
  <si>
    <t>Settings API: brand name, industry wording, logo, accent colour. Filterable constants for Fixdly vs LeafAndLush reuse.</t>
  </si>
  <si>
    <t>Trade category register (non-hierarchical)</t>
  </si>
  <si>
    <t>~20 flat categories (Carpenter, Electrician, Plumber…). Admin-editable list. No sub-groupings for MVP.</t>
  </si>
  <si>
    <t xml:space="preserve">  PHASE 2 — Trade Category &amp; Geo-Matching Engine  [4 hrs]</t>
  </si>
  <si>
    <t>Tradesperson geo-radius profile field</t>
  </si>
  <si>
    <t>Add postcode + work radius (miles) to TradeProfile. Stored and indexed for query matching.</t>
  </si>
  <si>
    <t>Query-to-tradesperson matching logic</t>
  </si>
  <si>
    <t>On new homeowner query: filter TradeProfiles by category + homeowner postcode within declared radius. Rank by activity score. Cap at top 10.</t>
  </si>
  <si>
    <t>Response cap enforcement (first 3–5 rule)</t>
  </si>
  <si>
    <t>Track quote responses per query. Lock to new responders at cap (3–5). Status → 'Quotes Full'. Notify late responders.</t>
  </si>
  <si>
    <t xml:space="preserve">  PHASE 3 — Quote Builder (Tradesperson Toolbox)  [11 hrs]</t>
  </si>
  <si>
    <t>Toolbox shell (basic — full dashboard in P9)</t>
  </si>
  <si>
    <t>Subscriber-gated Toolbox. Minimal shell with route to Pipeline dashboard (P9). Navigation between sections.</t>
  </si>
  <si>
    <t>Quote Builder — Step 1: Customer details</t>
  </si>
  <si>
    <t>Enter/select customer (name, email, phone). Guest homeowner token link generated — no account required.</t>
  </si>
  <si>
    <t>Quote Builder — Step 2: Area/Room builder</t>
  </si>
  <si>
    <t>Add/edit/remove areas. Per-area: name, scope (rich text), price, Included/Optional flag, validity date, materials, labour hrs, photo upload.</t>
  </si>
  <si>
    <t>Quote Builder — Step 3: Totals &amp; settings</t>
  </si>
  <si>
    <t>Auto-calculated subtotal, VAT toggle, deposit % or 'no deposit' option, iteration limit (within plan max), grand total. Save as Draft.</t>
  </si>
  <si>
    <t>Native PDF export (plugin-generated)</t>
  </si>
  <si>
    <t>Generate branded PDF internally (TCPDF/DomPDF). Trade logo, all areas+scope, totals, version number, issue date, validity. No Google Docs required.</t>
  </si>
  <si>
    <t>Secure token link &amp; quote send</t>
  </si>
  <si>
    <t>Generate cryptographic token. Build customer portal URL. Send email with token link + PDF. Log 'Sent' event. Status → SENT.</t>
  </si>
  <si>
    <t>Direct quote entry (Route B — no lead)</t>
  </si>
  <si>
    <t>Tradesperson can start a quote directly from Toolbox without an inbound Fixdly lead.</t>
  </si>
  <si>
    <t xml:space="preserve">  PHASE 4 — Homeowner Guest Query &amp; Quote Portal  [8 hrs]</t>
  </si>
  <si>
    <t>Homeowner guest query submission form</t>
  </si>
  <si>
    <t>Public form (no login): job description, trade category, postcode, contact details. Triggers geo-matching → distributes to top 10. Captures details for marketing.</t>
  </si>
  <si>
    <t>Customer Quote Portal — token validation &amp; display</t>
  </si>
  <si>
    <t>Validate token + expiry. Display quote summary, trade branding, all areas with scope/price/validity. Responsive layout.</t>
  </si>
  <si>
    <t>Area selection &amp; partial acceptance</t>
  </si>
  <si>
    <t>Select/deselect optional areas. Included areas pre-selected and locked. Live total recalculation.</t>
  </si>
  <si>
    <t>E-sign, Accept &amp; Decline flows</t>
  </si>
  <si>
    <t>Typed e-signature + date. Accept → APPROVED/PARTIAL, log event, notify tradesperson. Decline → DECLINED, log event. PDF download.</t>
  </si>
  <si>
    <t>Response-cap re-open on full rejection</t>
  </si>
  <si>
    <t>If homeowner rejects all submitted quotes, system re-opens query to remaining top-10 pool.</t>
  </si>
  <si>
    <t>Portal expiry &amp; invalid token handling</t>
  </si>
  <si>
    <t>Show 'Quote Expired' or 'Invalid Link' notices. Log expiry event via WP Cron.</t>
  </si>
  <si>
    <t xml:space="preserve">  PHASE 5 — Amendment Engine &amp; Iteration Limit Control  [5 hrs]</t>
  </si>
  <si>
    <t>Amendment request form (customer-facing)</t>
  </si>
  <si>
    <t>Tick-box interface: mark areas to add/remove. Message window for context. Submit blocked if iteration_used == iteration_limit.</t>
  </si>
  <si>
    <t>Iteration limit enforcement &amp; counter</t>
  </si>
  <si>
    <t>iteration_used++ on each customer-triggered reissue. Block at limit. Trade can reset within plan max. Counter shown in dashboard.</t>
  </si>
  <si>
    <t>Tradesperson amendment review &amp; reissue</t>
  </si>
  <si>
    <t>Dashboard shows pending requests + tick-box summary. Options: Reissue (new version), Reject (message), Approve as-is.</t>
  </si>
  <si>
    <t>Amendment status notifications</t>
  </si>
  <si>
    <t>Notify homeowner of rejection with message. Notify trade of new amendment request. Log all events.</t>
  </si>
  <si>
    <t xml:space="preserve">  PHASE 6 — Versioning, Audit Trail &amp; Native PDF  [6 hrs]</t>
  </si>
  <si>
    <t>Quote versioning system</t>
  </si>
  <si>
    <t>Version field (v1.0, v1.1…). Snapshot state on reissue. Always-latest token link (agreed default). Version in UI + PDF.</t>
  </si>
  <si>
    <t>Audit trail / Events log</t>
  </si>
  <si>
    <t>Events table: event_id, timestamp, quote_id, version, actor_type, actor_id, event_type. All key events logged.</t>
  </si>
  <si>
    <t>PDF versioning (plugin-native)</t>
  </si>
  <si>
    <t>Each version regenerates PDF with version number + issue date. Stored per version. No third-party dependency.</t>
  </si>
  <si>
    <t>WP Cron: expiry &amp; reminder scheduling</t>
  </si>
  <si>
    <t>48h after sent (if unviewed) + 24h before expiry reminders. Log reminder events.</t>
  </si>
  <si>
    <t xml:space="preserve">  PHASE 7 — Stripe Deposit Payment Integration  [6 hrs]</t>
  </si>
  <si>
    <t>Deposit rules configuration (tradesperson)</t>
  </si>
  <si>
    <t>Per-quote deposit: % (0–100%) or 'No deposit required'. Calculated on selected areas total. Set in Quote Builder Step 3.</t>
  </si>
  <si>
    <t>Stripe payment link generation</t>
  </si>
  <si>
    <t>On acceptance, generate Stripe Payment Link via API. Store link. Surface 'Pay Deposit' button on portal.</t>
  </si>
  <si>
    <t>Stripe webhook handler</t>
  </si>
  <si>
    <t>WordPress REST endpoint. Verify signature. Handle payment_intent.succeeded. Status → PAID. Log event. Notify trade. Idempotency check.</t>
  </si>
  <si>
    <t>Stripe test mode &amp; staging config</t>
  </si>
  <si>
    <t>Test/live key toggle in plugin settings. Stripe CLI webhook test. Staging smoke test.</t>
  </si>
  <si>
    <t>Deposit confirmation display on portal &amp; dashboard</t>
  </si>
  <si>
    <t>Show 'Deposit Paid' badge on customer portal and homeowner dashboard. Update Trades 'Awaiting Deposit' tab.</t>
  </si>
  <si>
    <t xml:space="preserve">  PHASE 8 — Email Notifications  [4 hrs]</t>
  </si>
  <si>
    <t>Plugin-native email templates</t>
  </si>
  <si>
    <t>Transactional emails via wp_mail() + SMTP plugin. Templates: Query Received, Quote Sent, Viewed, Amendment Requested, Reissued, Accepted, Deposit Paid, Expiry Reminder, Dashboard Magic Link.</t>
  </si>
  <si>
    <t>Notification trigger hooks</t>
  </si>
  <si>
    <t>WordPress action hooks on each status transition. Fires correct template with dynamic variables.</t>
  </si>
  <si>
    <t>Late-responder quota-full notification</t>
  </si>
  <si>
    <t>When response cap hit, notify remaining tradespeople query is closed. Update job status.</t>
  </si>
  <si>
    <t xml:space="preserve">  PHASE 9 — Trades Pipeline Dashboard  [5 hrs]</t>
  </si>
  <si>
    <t>Trades Dashboard — Pipeline view</t>
  </si>
  <si>
    <t>Table: Customer, Job desc, Status badge, Iteration count (x/n), Last activity, Query source. Sortable. Stat cards: quotes this month, win rate, avg time to approve.</t>
  </si>
  <si>
    <t>Trades Dashboard — Amendments tab</t>
  </si>
  <si>
    <t>Pending amendment requests with iteration fraction + Review CTA. Quick-review inline.</t>
  </si>
  <si>
    <t>Trades Dashboard — Awaiting Deposit tab</t>
  </si>
  <si>
    <t>Accepted quotes with deposit unpaid. Deposit amount display. Copy payment link button.</t>
  </si>
  <si>
    <t>Activity/priority score (basic)</t>
  </si>
  <si>
    <t>Simple score: last-active timestamp + response rate. Tie-breaker for top-10 query distribution. Admin-visible on TradeProfile.</t>
  </si>
  <si>
    <t>Homeowner requests magic link via email address. System emails a time-limited login link. No password required. Sessions scoped to that email. Secure token generation and validation.</t>
  </si>
  <si>
    <t>Authenticated homeowner sees all quotes tied to their email. Grouped by tradesperson/provider. Status badges: Sent, Approved, Partial, Pending Amendment, Deposit Paid, Expired. Sorted by last activity.</t>
  </si>
  <si>
    <t>Optional project label field on query (e.g. 'Home Extension', 'Kitchen Refurb'). Homeowner can assign/edit label. Quotes grouped by project on dashboard with count and summary status.</t>
  </si>
  <si>
    <t>Open any quote from dashboard into the Customer Quote Portal (existing P4 view). Back button returns to dashboard. Shows current version with version history indicator.</t>
  </si>
  <si>
    <t>Side-by-side or stacked comparison of 2–3 quotes for the same project. Compare: tradesperson name, areas covered, total price, validity, deposit requirement, status. Highlight cheapest / fastest to respond.</t>
  </si>
  <si>
    <t>Filter quotes by status (All / Approved / Pending / Sent / Expired). Search by tradesperson name or job description. Instant client-side filtering.</t>
  </si>
  <si>
    <t>CTA on dashboard to submit a new guest query for a different project or to get more quotes for an existing one. Pre-fills category and project label from history.</t>
  </si>
  <si>
    <t xml:space="preserve">  PHASE 11 — QA, Testing &amp; Deployment  [6 hrs]</t>
  </si>
  <si>
    <t>Core logic unit tests</t>
  </si>
  <si>
    <t>PHPUnit: iteration enforcement, token validation, response cap, deposit calculation, geo-match filter, magic-link auth, status transitions.</t>
  </si>
  <si>
    <t>End-to-end journey testing (5 flows)</t>
  </si>
  <si>
    <t>Manual QA: Flow A (guest query+matching), Flow B (quote builder+send), Flow C (portal review+sign), Flow D (amendment+reissue), Flow E (deposit). + Homeowner dashboard journey.</t>
  </si>
  <si>
    <t>Deployment, docs &amp; handover</t>
  </si>
  <si>
    <t>Staging → production deploy. Plugin README. Admin setup guide (Stripe, SMTP, PMS). Handover session.</t>
  </si>
  <si>
    <t>GRAND TOTAL — ALL PHASES  (Target: 70 hrs)</t>
  </si>
  <si>
    <t>Sprint Plan — 4 × 2-Week Sprints (8 Weeks)  |  70-Hour Budget</t>
  </si>
  <si>
    <t>Sprint</t>
  </si>
  <si>
    <t>Deliverables</t>
  </si>
  <si>
    <t>Phases</t>
  </si>
  <si>
    <t>Cumulative</t>
  </si>
  <si>
    <t>Sprint 1
Weeks 1–2</t>
  </si>
  <si>
    <t>Plugin bootstrap, CPTs (incl. HomeownerQuery), meta schema, subscription tier config (Starter/Pro). Trade category register. Branding config layer. Quote Builder Steps 1–2 (customer entry, area/room builder with Included/Optional flags, scope rich text, photo upload). Geo-radius profile field + top-10 matching engine. Response cap enforcement (first 3–5 rule). Homeowner guest query form. Route B direct quote entry.</t>
  </si>
  <si>
    <t>P1, P2, P3 (partial)</t>
  </si>
  <si>
    <t>Sprint 2
Weeks 3–4</t>
  </si>
  <si>
    <t>Quote Builder Step 3 (totals, VAT, deposit rules, iteration limit). Native PDF export (plugin-generated). Secure token link + wp_mail() send. Customer Quote Portal (token validation, area display, partial selection, e-sign, accept/decline, expiry handling). Response-cap re-open logic. Amendment tick-box form + iteration enforcement. Tradesperson amendment review + reissue. Quote versioning (v1.x). Audit trail events log. PDF versioning. WP Cron reminders. Amendment notifications.</t>
  </si>
  <si>
    <t>P3 (complete), P4, P5, P6</t>
  </si>
  <si>
    <t>Sprint 3
Weeks 5–6</t>
  </si>
  <si>
    <t>P7, P8, P9, P10</t>
  </si>
  <si>
    <t>Sprint 4
Weeks 7–8</t>
  </si>
  <si>
    <t>PHPUnit core logic tests (iteration, token, response cap, deposit calc, magic-link auth, status transitions). End-to-end QA: all 5 flows + homeowner dashboard journey. Mobile + desktop testing (Chrome, Safari). Stripe CLI webhook testing. Bug fixes. Staging → production deployment. Plugin README + admin setup guide. Handover session.</t>
  </si>
  <si>
    <t>Scope Decisions — In-Scope vs Out-of-Scope for 70-Hour MVP</t>
  </si>
  <si>
    <t>Status</t>
  </si>
  <si>
    <t>Item</t>
  </si>
  <si>
    <t>Rationale / Source</t>
  </si>
  <si>
    <t>IN</t>
  </si>
  <si>
    <t>Custom WordPress plugin (not standard plugins only)</t>
  </si>
  <si>
    <t>Meeting: Pranav recommends custom plugin for doc management, versioning, email. Gareth agreed.</t>
  </si>
  <si>
    <t>Native PDF generation (plugin-internal, no Google Docs)</t>
  </si>
  <si>
    <t>Meeting: Google Docs questioned. Pranav confirmed plugin handles PDF natively. ~6–10 hrs saved.</t>
  </si>
  <si>
    <t>Homeowner guest query — no registration for MVP</t>
  </si>
  <si>
    <t>Meeting: Gareth + Pranav agreed. Homeowners submit as guest. Details captured for marketing.</t>
  </si>
  <si>
    <t>Subscription tiers: Starter (10 quotes, 5 iter) + Pro (40 quotes, 10 iter)</t>
  </si>
  <si>
    <t>Meeting: Gareth confirmed both tiers and limits.</t>
  </si>
  <si>
    <t>Top-10 query distribution + first 3–5 response cap</t>
  </si>
  <si>
    <t>Meeting: prevents overwhelm, creates urgency, practical for MVP.</t>
  </si>
  <si>
    <t>Tradesperson-defined deposit rules (incl. zero deposit option)</t>
  </si>
  <si>
    <t>Meeting: tradesperson sets own rules. Single holding payment only.</t>
  </si>
  <si>
    <t>Flat trade categories (~20, non-hierarchical)</t>
  </si>
  <si>
    <t>Meeting: keep simple. No sub-groupings, no multi-trade job grouping.</t>
  </si>
  <si>
    <t>Audit trail: event_id, timestamp, quote_id, version, actor_type, actor_id</t>
  </si>
  <si>
    <t>Meeting: fields confirmed for dispute protection and future migration.</t>
  </si>
  <si>
    <t>Amendment tick-box + message window</t>
  </si>
  <si>
    <t>Meeting: tick boxes for optional items + free-text message.</t>
  </si>
  <si>
    <t>Plugin-native email via wp_mail() (no SendGrid API for MVP)</t>
  </si>
  <si>
    <t>Meeting: removes third-party dependency. SendGrid is trivial post-MVP swap.</t>
  </si>
  <si>
    <t>Added in this revision. Magic-link auth, quotes list, project grouping, comparison, filter, re-submit.</t>
  </si>
  <si>
    <t>Magic-link authentication for homeowner dashboard</t>
  </si>
  <si>
    <t>No account/password needed. Secure HMAC-signed time-limited link. Consistent with guest model.</t>
  </si>
  <si>
    <t>Multi-quote comparison view</t>
  </si>
  <si>
    <t>PRD requirement: homeowner needs to compare quotes by provider. Highlight lowest price + fastest.</t>
  </si>
  <si>
    <t>OUT</t>
  </si>
  <si>
    <t>Google Docs API integration for PDF</t>
  </si>
  <si>
    <t>Zapier automation flows</t>
  </si>
  <si>
    <t>SendGrid API integration</t>
  </si>
  <si>
    <t>Full homeowner account registration &amp; saved profile</t>
  </si>
  <si>
    <t>Multi-trade job grouping</t>
  </si>
  <si>
    <t>Reviews / ratings system</t>
  </si>
  <si>
    <t>LeafAndLush.com brand activation in MVP</t>
  </si>
  <si>
    <t>Canvas drawn e-signature</t>
  </si>
  <si>
    <t>Subsequent payment management (beyond deposit)</t>
  </si>
  <si>
    <t>Automated GDPR cleanup tools</t>
  </si>
  <si>
    <t>Subscription Tier Specification — Starter &amp; Pro  (confirmed in meeting)</t>
  </si>
  <si>
    <t>Feature / Parameter</t>
  </si>
  <si>
    <t>Starter</t>
  </si>
  <si>
    <t>Pro</t>
  </si>
  <si>
    <t>Monthly quote allowance</t>
  </si>
  <si>
    <t>10 quotes / month</t>
  </si>
  <si>
    <t>40 quotes / month</t>
  </si>
  <si>
    <t>Max iterations per quote</t>
  </si>
  <si>
    <t>5 iterations</t>
  </si>
  <si>
    <t>10 iterations</t>
  </si>
  <si>
    <t>What counts toward iteration limit</t>
  </si>
  <si>
    <t>Customer-triggered amendments only</t>
  </si>
  <si>
    <t>Tradesperson can override iteration cap</t>
  </si>
  <si>
    <t>Yes — within plan max</t>
  </si>
  <si>
    <t>Quote builder access</t>
  </si>
  <si>
    <t>Full access</t>
  </si>
  <si>
    <t>Native PDF generation</t>
  </si>
  <si>
    <t>Yes</t>
  </si>
  <si>
    <t>Area/room breakdown (Included + Optional)</t>
  </si>
  <si>
    <t>Deposit rules (own-defined, incl. zero)</t>
  </si>
  <si>
    <t>Geo-matching &amp; query distribution</t>
  </si>
  <si>
    <t>Top 10 pool</t>
  </si>
  <si>
    <t>Top 10 pool + priority boost</t>
  </si>
  <si>
    <t>Response cap per query</t>
  </si>
  <si>
    <t>First 3–5 to respond</t>
  </si>
  <si>
    <t>Audit trail</t>
  </si>
  <si>
    <t>Stripe deposit payment</t>
  </si>
  <si>
    <t>Plugin-native email notifications</t>
  </si>
  <si>
    <t>Full</t>
  </si>
  <si>
    <t>Homeowner receives magic link</t>
  </si>
  <si>
    <t>Up to 3 quotes</t>
  </si>
  <si>
    <t>Optional label</t>
  </si>
  <si>
    <t>Activity/priority score</t>
  </si>
  <si>
    <t>Basic</t>
  </si>
  <si>
    <t>Enhanced (post-MVP)</t>
  </si>
  <si>
    <t>Reviews / ratings</t>
  </si>
  <si>
    <t>Post-MVP</t>
  </si>
  <si>
    <t>Multi-brand config (LeafAndLush)</t>
  </si>
  <si>
    <t>API access</t>
  </si>
  <si>
    <t>Not included</t>
  </si>
  <si>
    <t>Homeowner Dashboard (NEW)</t>
  </si>
  <si>
    <t xml:space="preserve">  PHASE 10 — Homeowner Dashboard (10 hrs) </t>
  </si>
  <si>
    <t>Magic-link authentication for homeowners</t>
  </si>
  <si>
    <t>Request another quote (re-submit query)</t>
  </si>
  <si>
    <t>Status filter &amp; search bar</t>
  </si>
  <si>
    <t>Quote detail view (from dashboard)</t>
  </si>
  <si>
    <t>Project grouping (optional label)</t>
  </si>
  <si>
    <t>Dashboard shell — quotes list view</t>
  </si>
  <si>
    <t>Stripe deposit rules + Payment Link generation. Stripe webhook (idempotency, PAID, logging). Deposit confirmation on portal + dashboard. Plugin-native email (9 templates + trigger hooks incl. magic-link email). Late-responder quota notifications. Trades Pipeline Dashboard (pipeline, amendments, awaiting deposit tabs). Activity priority score. HOMEOWNER DASHBOARD: Magic-link auth, quotes list view, project grouping, quote detail view, multi-quote comparison, status filter/search, re-submit query CTA.</t>
  </si>
  <si>
    <t>Homeowner Dashboard (Phase 10</t>
  </si>
  <si>
    <t>Project grouping on dashboard</t>
  </si>
  <si>
    <t>Homeowner Dashboard (magic-link)</t>
  </si>
  <si>
    <t xml:space="preserve">ChangeFluent Ltd  ·  Fixdly.com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</si>
</sst>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7"/>
      <color rgb="FFFFFFFF"/>
      <name val="Arial"/>
      <charset val="1"/>
    </font>
    <font>
      <i/>
      <sz val="11"/>
      <color rgb="FF1A5276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D354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E8449"/>
      <name val="Arial"/>
      <charset val="1"/>
    </font>
    <font>
      <b/>
      <sz val="9"/>
      <color rgb="FF1A5276"/>
      <name val="Arial"/>
      <charset val="1"/>
    </font>
    <font>
      <b/>
      <sz val="9"/>
      <color rgb="FF0000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A5276"/>
        <bgColor rgb="FF0E6655"/>
      </patternFill>
    </fill>
    <fill>
      <patternFill patternType="solid">
        <fgColor rgb="FFD6EAF8"/>
        <bgColor rgb="FFD1F2EB"/>
      </patternFill>
    </fill>
    <fill>
      <patternFill patternType="solid">
        <fgColor rgb="FF2E86C1"/>
        <bgColor rgb="FF008080"/>
      </patternFill>
    </fill>
    <fill>
      <patternFill patternType="solid">
        <fgColor rgb="FFF4F6F7"/>
        <bgColor rgb="FFFEF9E7"/>
      </patternFill>
    </fill>
    <fill>
      <patternFill patternType="solid">
        <fgColor rgb="FFD35400"/>
        <bgColor rgb="FFB03A2E"/>
      </patternFill>
    </fill>
    <fill>
      <patternFill patternType="solid">
        <fgColor rgb="FFFAE5D3"/>
        <bgColor rgb="FFFADBD8"/>
      </patternFill>
    </fill>
    <fill>
      <patternFill patternType="solid">
        <fgColor rgb="FFFFFFFF"/>
        <bgColor rgb="FFFEF9E7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1F2EB"/>
      </patternFill>
    </fill>
    <fill>
      <patternFill patternType="solid">
        <fgColor rgb="FF0E6655"/>
        <bgColor rgb="FF1A5276"/>
      </patternFill>
    </fill>
    <fill>
      <patternFill patternType="solid">
        <fgColor rgb="FFB7950B"/>
        <bgColor rgb="FFD68910"/>
      </patternFill>
    </fill>
    <fill>
      <patternFill patternType="solid">
        <fgColor rgb="FF6C3483"/>
        <bgColor rgb="FF993366"/>
      </patternFill>
    </fill>
    <fill>
      <patternFill patternType="solid">
        <fgColor rgb="FFB03A2E"/>
        <bgColor rgb="FF993366"/>
      </patternFill>
    </fill>
    <fill>
      <patternFill patternType="solid">
        <fgColor rgb="FFD68910"/>
        <bgColor rgb="FFB7950B"/>
      </patternFill>
    </fill>
    <fill>
      <patternFill patternType="solid">
        <fgColor rgb="FF717D7E"/>
        <bgColor rgb="FF666699"/>
      </patternFill>
    </fill>
    <fill>
      <patternFill patternType="solid">
        <fgColor rgb="FFD1F2EB"/>
        <bgColor rgb="FFD5F5E3"/>
      </patternFill>
    </fill>
    <fill>
      <patternFill patternType="solid">
        <fgColor rgb="FFFADBD8"/>
        <bgColor rgb="FFFAE5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E6655"/>
      <rgbColor rgb="FFBFBFBF"/>
      <rgbColor rgb="FF717D7E"/>
      <rgbColor rgb="FF9999FF"/>
      <rgbColor rgb="FF6C3483"/>
      <rgbColor rgb="FFFEF9E7"/>
      <rgbColor rgb="FFD1F2EB"/>
      <rgbColor rgb="FF660066"/>
      <rgbColor rgb="FFFF8080"/>
      <rgbColor rgb="FF0066CC"/>
      <rgbColor rgb="FFF4F6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AE5D3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D68910"/>
      <rgbColor rgb="FFD35400"/>
      <rgbColor rgb="FF666699"/>
      <rgbColor rgb="FF969696"/>
      <rgbColor rgb="FF1A5276"/>
      <rgbColor rgb="FF1E8449"/>
      <rgbColor rgb="FF003300"/>
      <rgbColor rgb="FF333300"/>
      <rgbColor rgb="FFB03A2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9"/>
  <sheetViews>
    <sheetView showGridLines="0" tabSelected="1" topLeftCell="A12" zoomScaleNormal="100" workbookViewId="0">
      <selection activeCell="C7" sqref="C7:D7"/>
    </sheetView>
  </sheetViews>
  <sheetFormatPr defaultColWidth="8.6640625" defaultRowHeight="14.4" x14ac:dyDescent="0.3"/>
  <cols>
    <col min="1" max="1" width="3" customWidth="1"/>
    <col min="2" max="2" width="30" customWidth="1"/>
    <col min="3" max="3" width="46" customWidth="1"/>
    <col min="4" max="4" width="14" customWidth="1"/>
    <col min="5" max="5" width="3" customWidth="1"/>
  </cols>
  <sheetData>
    <row r="1" spans="2:4" ht="7.5" customHeight="1" x14ac:dyDescent="0.3"/>
    <row r="2" spans="2:4" ht="54.75" customHeight="1" x14ac:dyDescent="0.3">
      <c r="B2" s="35" t="s">
        <v>0</v>
      </c>
      <c r="C2" s="35"/>
      <c r="D2" s="35"/>
    </row>
    <row r="3" spans="2:4" ht="30" customHeight="1" x14ac:dyDescent="0.3">
      <c r="B3" s="36" t="s">
        <v>263</v>
      </c>
      <c r="C3" s="36"/>
      <c r="D3" s="36"/>
    </row>
    <row r="4" spans="2:4" ht="7.5" customHeight="1" x14ac:dyDescent="0.3"/>
    <row r="5" spans="2:4" ht="21.75" customHeight="1" x14ac:dyDescent="0.3">
      <c r="B5" s="1" t="s">
        <v>1</v>
      </c>
      <c r="C5" s="32" t="s">
        <v>2</v>
      </c>
      <c r="D5" s="32"/>
    </row>
    <row r="6" spans="2:4" ht="21.75" customHeight="1" x14ac:dyDescent="0.3">
      <c r="B6" s="1" t="s">
        <v>3</v>
      </c>
      <c r="C6" s="32" t="s">
        <v>4</v>
      </c>
      <c r="D6" s="32"/>
    </row>
    <row r="7" spans="2:4" ht="21.75" customHeight="1" x14ac:dyDescent="0.3">
      <c r="B7" s="1" t="s">
        <v>5</v>
      </c>
      <c r="C7" s="32" t="s">
        <v>6</v>
      </c>
      <c r="D7" s="32"/>
    </row>
    <row r="8" spans="2:4" ht="21.75" customHeight="1" x14ac:dyDescent="0.3">
      <c r="B8" s="1" t="s">
        <v>7</v>
      </c>
      <c r="C8" s="32" t="s">
        <v>8</v>
      </c>
      <c r="D8" s="32"/>
    </row>
    <row r="9" spans="2:4" ht="21.75" customHeight="1" x14ac:dyDescent="0.3">
      <c r="B9" s="1" t="s">
        <v>9</v>
      </c>
      <c r="C9" s="32" t="s">
        <v>10</v>
      </c>
      <c r="D9" s="32"/>
    </row>
    <row r="10" spans="2:4" ht="21.75" customHeight="1" x14ac:dyDescent="0.3">
      <c r="B10" s="1" t="s">
        <v>11</v>
      </c>
      <c r="C10" s="32" t="s">
        <v>12</v>
      </c>
      <c r="D10" s="32"/>
    </row>
    <row r="11" spans="2:4" ht="21.75" customHeight="1" x14ac:dyDescent="0.3">
      <c r="B11" s="1" t="s">
        <v>13</v>
      </c>
      <c r="C11" s="32" t="s">
        <v>14</v>
      </c>
      <c r="D11" s="32"/>
    </row>
    <row r="12" spans="2:4" ht="21.75" customHeight="1" x14ac:dyDescent="0.3">
      <c r="B12" s="1" t="s">
        <v>15</v>
      </c>
      <c r="C12" s="32" t="s">
        <v>16</v>
      </c>
      <c r="D12" s="32"/>
    </row>
    <row r="13" spans="2:4" ht="21.75" customHeight="1" x14ac:dyDescent="0.3">
      <c r="B13" s="1" t="s">
        <v>17</v>
      </c>
      <c r="C13" s="32" t="s">
        <v>18</v>
      </c>
      <c r="D13" s="32"/>
    </row>
    <row r="15" spans="2:4" ht="25.5" customHeight="1" x14ac:dyDescent="0.3">
      <c r="B15" s="33" t="s">
        <v>19</v>
      </c>
      <c r="C15" s="33"/>
      <c r="D15" s="33"/>
    </row>
    <row r="16" spans="2:4" ht="27.75" customHeight="1" x14ac:dyDescent="0.3">
      <c r="B16" s="2" t="s">
        <v>20</v>
      </c>
      <c r="C16" s="2" t="s">
        <v>21</v>
      </c>
      <c r="D16" s="2" t="s">
        <v>22</v>
      </c>
    </row>
    <row r="17" spans="2:4" ht="21.75" customHeight="1" x14ac:dyDescent="0.3">
      <c r="B17" s="3" t="s">
        <v>23</v>
      </c>
      <c r="C17" s="4" t="s">
        <v>24</v>
      </c>
      <c r="D17" s="3">
        <v>5</v>
      </c>
    </row>
    <row r="18" spans="2:4" ht="21.75" customHeight="1" x14ac:dyDescent="0.3">
      <c r="B18" s="5" t="s">
        <v>25</v>
      </c>
      <c r="C18" s="6" t="s">
        <v>26</v>
      </c>
      <c r="D18" s="5">
        <v>4</v>
      </c>
    </row>
    <row r="19" spans="2:4" ht="21.75" customHeight="1" x14ac:dyDescent="0.3">
      <c r="B19" s="3" t="s">
        <v>27</v>
      </c>
      <c r="C19" s="4" t="s">
        <v>28</v>
      </c>
      <c r="D19" s="3">
        <v>11</v>
      </c>
    </row>
    <row r="20" spans="2:4" ht="21.75" customHeight="1" x14ac:dyDescent="0.3">
      <c r="B20" s="5" t="s">
        <v>29</v>
      </c>
      <c r="C20" s="6" t="s">
        <v>30</v>
      </c>
      <c r="D20" s="5">
        <v>8</v>
      </c>
    </row>
    <row r="21" spans="2:4" ht="21.75" customHeight="1" x14ac:dyDescent="0.3">
      <c r="B21" s="3" t="s">
        <v>31</v>
      </c>
      <c r="C21" s="4" t="s">
        <v>32</v>
      </c>
      <c r="D21" s="3">
        <v>5</v>
      </c>
    </row>
    <row r="22" spans="2:4" ht="21.75" customHeight="1" x14ac:dyDescent="0.3">
      <c r="B22" s="5" t="s">
        <v>33</v>
      </c>
      <c r="C22" s="6" t="s">
        <v>34</v>
      </c>
      <c r="D22" s="5">
        <v>6</v>
      </c>
    </row>
    <row r="23" spans="2:4" ht="21.75" customHeight="1" x14ac:dyDescent="0.3">
      <c r="B23" s="3" t="s">
        <v>35</v>
      </c>
      <c r="C23" s="4" t="s">
        <v>36</v>
      </c>
      <c r="D23" s="3">
        <v>6</v>
      </c>
    </row>
    <row r="24" spans="2:4" ht="21.75" customHeight="1" x14ac:dyDescent="0.3">
      <c r="B24" s="5" t="s">
        <v>37</v>
      </c>
      <c r="C24" s="6" t="s">
        <v>38</v>
      </c>
      <c r="D24" s="5">
        <v>4</v>
      </c>
    </row>
    <row r="25" spans="2:4" ht="21.75" customHeight="1" x14ac:dyDescent="0.3">
      <c r="B25" s="3" t="s">
        <v>39</v>
      </c>
      <c r="C25" s="4" t="s">
        <v>40</v>
      </c>
      <c r="D25" s="3">
        <v>5</v>
      </c>
    </row>
    <row r="26" spans="2:4" ht="21.75" customHeight="1" x14ac:dyDescent="0.3">
      <c r="B26" s="3" t="s">
        <v>41</v>
      </c>
      <c r="C26" s="4" t="s">
        <v>251</v>
      </c>
      <c r="D26" s="7">
        <v>10</v>
      </c>
    </row>
    <row r="27" spans="2:4" ht="21.75" customHeight="1" x14ac:dyDescent="0.3">
      <c r="B27" s="3" t="s">
        <v>42</v>
      </c>
      <c r="C27" s="4" t="s">
        <v>43</v>
      </c>
      <c r="D27" s="3">
        <v>6</v>
      </c>
    </row>
    <row r="28" spans="2:4" ht="25.5" customHeight="1" x14ac:dyDescent="0.3">
      <c r="B28" s="8" t="s">
        <v>44</v>
      </c>
      <c r="C28" s="8" t="s">
        <v>45</v>
      </c>
      <c r="D28" s="9">
        <v>70</v>
      </c>
    </row>
    <row r="29" spans="2:4" ht="21.75" customHeight="1" x14ac:dyDescent="0.3">
      <c r="B29" s="34" t="s">
        <v>46</v>
      </c>
      <c r="C29" s="34"/>
      <c r="D29" s="34"/>
    </row>
  </sheetData>
  <mergeCells count="13">
    <mergeCell ref="B2:D2"/>
    <mergeCell ref="B3:D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15:D15"/>
    <mergeCell ref="B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showGridLines="0" zoomScaleNormal="100" workbookViewId="0">
      <pane ySplit="2" topLeftCell="A37" activePane="bottomLeft" state="frozen"/>
      <selection pane="bottomLeft" activeCell="C6" sqref="C6"/>
    </sheetView>
  </sheetViews>
  <sheetFormatPr defaultColWidth="8.6640625" defaultRowHeight="14.4" x14ac:dyDescent="0.3"/>
  <cols>
    <col min="1" max="1" width="4" customWidth="1"/>
    <col min="2" max="2" width="10" customWidth="1"/>
    <col min="3" max="3" width="36" customWidth="1"/>
    <col min="4" max="4" width="50" customWidth="1"/>
    <col min="5" max="5" width="10" customWidth="1"/>
    <col min="6" max="6" width="3" customWidth="1"/>
  </cols>
  <sheetData>
    <row r="1" spans="1:5" ht="13.5" customHeight="1" x14ac:dyDescent="0.3">
      <c r="A1" s="33" t="s">
        <v>47</v>
      </c>
      <c r="B1" s="33"/>
      <c r="C1" s="33"/>
      <c r="D1" s="33"/>
      <c r="E1" s="33"/>
    </row>
    <row r="2" spans="1:5" ht="36" customHeight="1" x14ac:dyDescent="0.3">
      <c r="A2" s="2" t="s">
        <v>48</v>
      </c>
      <c r="B2" s="2" t="s">
        <v>20</v>
      </c>
      <c r="C2" s="2" t="s">
        <v>49</v>
      </c>
      <c r="D2" s="2" t="s">
        <v>50</v>
      </c>
      <c r="E2" s="2" t="s">
        <v>22</v>
      </c>
    </row>
    <row r="3" spans="1:5" ht="21.75" customHeight="1" x14ac:dyDescent="0.3">
      <c r="A3" s="37" t="s">
        <v>51</v>
      </c>
      <c r="B3" s="37"/>
      <c r="C3" s="37"/>
      <c r="D3" s="37"/>
      <c r="E3" s="37"/>
    </row>
    <row r="4" spans="1:5" ht="36" customHeight="1" x14ac:dyDescent="0.3">
      <c r="A4" s="10">
        <v>1</v>
      </c>
      <c r="B4" s="11" t="s">
        <v>23</v>
      </c>
      <c r="C4" s="4" t="s">
        <v>52</v>
      </c>
      <c r="D4" s="4" t="s">
        <v>53</v>
      </c>
      <c r="E4" s="12">
        <v>1.5</v>
      </c>
    </row>
    <row r="5" spans="1:5" ht="36" customHeight="1" x14ac:dyDescent="0.3">
      <c r="A5" s="13">
        <v>2</v>
      </c>
      <c r="B5" s="11" t="s">
        <v>23</v>
      </c>
      <c r="C5" s="6" t="s">
        <v>54</v>
      </c>
      <c r="D5" s="6" t="s">
        <v>55</v>
      </c>
      <c r="E5" s="12">
        <v>1.5</v>
      </c>
    </row>
    <row r="6" spans="1:5" ht="36" customHeight="1" x14ac:dyDescent="0.3">
      <c r="A6" s="10">
        <v>3</v>
      </c>
      <c r="B6" s="11" t="s">
        <v>23</v>
      </c>
      <c r="C6" s="4" t="s">
        <v>56</v>
      </c>
      <c r="D6" s="4" t="s">
        <v>57</v>
      </c>
      <c r="E6" s="12">
        <v>1.5</v>
      </c>
    </row>
    <row r="7" spans="1:5" ht="36" customHeight="1" x14ac:dyDescent="0.3">
      <c r="A7" s="13">
        <v>4</v>
      </c>
      <c r="B7" s="11" t="s">
        <v>23</v>
      </c>
      <c r="C7" s="6" t="s">
        <v>58</v>
      </c>
      <c r="D7" s="6" t="s">
        <v>59</v>
      </c>
      <c r="E7" s="12">
        <v>0.5</v>
      </c>
    </row>
    <row r="8" spans="1:5" ht="21.75" customHeight="1" x14ac:dyDescent="0.3">
      <c r="A8" s="37" t="s">
        <v>60</v>
      </c>
      <c r="B8" s="37"/>
      <c r="C8" s="37"/>
      <c r="D8" s="37"/>
      <c r="E8" s="37"/>
    </row>
    <row r="9" spans="1:5" ht="36" customHeight="1" x14ac:dyDescent="0.3">
      <c r="A9" s="10">
        <v>5</v>
      </c>
      <c r="B9" s="14" t="s">
        <v>25</v>
      </c>
      <c r="C9" s="4" t="s">
        <v>61</v>
      </c>
      <c r="D9" s="4" t="s">
        <v>62</v>
      </c>
      <c r="E9" s="12">
        <v>0.5</v>
      </c>
    </row>
    <row r="10" spans="1:5" ht="36" customHeight="1" x14ac:dyDescent="0.3">
      <c r="A10" s="13">
        <v>6</v>
      </c>
      <c r="B10" s="14" t="s">
        <v>25</v>
      </c>
      <c r="C10" s="6" t="s">
        <v>63</v>
      </c>
      <c r="D10" s="6" t="s">
        <v>64</v>
      </c>
      <c r="E10" s="12">
        <v>2</v>
      </c>
    </row>
    <row r="11" spans="1:5" ht="36" customHeight="1" x14ac:dyDescent="0.3">
      <c r="A11" s="10">
        <v>7</v>
      </c>
      <c r="B11" s="14" t="s">
        <v>25</v>
      </c>
      <c r="C11" s="4" t="s">
        <v>65</v>
      </c>
      <c r="D11" s="4" t="s">
        <v>66</v>
      </c>
      <c r="E11" s="12">
        <v>1.5</v>
      </c>
    </row>
    <row r="12" spans="1:5" ht="21.75" customHeight="1" x14ac:dyDescent="0.3">
      <c r="A12" s="37" t="s">
        <v>67</v>
      </c>
      <c r="B12" s="37"/>
      <c r="C12" s="37"/>
      <c r="D12" s="37"/>
      <c r="E12" s="37"/>
    </row>
    <row r="13" spans="1:5" ht="36" customHeight="1" x14ac:dyDescent="0.3">
      <c r="A13" s="13">
        <v>8</v>
      </c>
      <c r="B13" s="11" t="s">
        <v>27</v>
      </c>
      <c r="C13" s="6" t="s">
        <v>68</v>
      </c>
      <c r="D13" s="6" t="s">
        <v>69</v>
      </c>
      <c r="E13" s="12">
        <v>1</v>
      </c>
    </row>
    <row r="14" spans="1:5" ht="36" customHeight="1" x14ac:dyDescent="0.3">
      <c r="A14" s="10">
        <v>9</v>
      </c>
      <c r="B14" s="11" t="s">
        <v>27</v>
      </c>
      <c r="C14" s="4" t="s">
        <v>70</v>
      </c>
      <c r="D14" s="4" t="s">
        <v>71</v>
      </c>
      <c r="E14" s="12">
        <v>1</v>
      </c>
    </row>
    <row r="15" spans="1:5" ht="36" customHeight="1" x14ac:dyDescent="0.3">
      <c r="A15" s="13">
        <v>10</v>
      </c>
      <c r="B15" s="11" t="s">
        <v>27</v>
      </c>
      <c r="C15" s="6" t="s">
        <v>72</v>
      </c>
      <c r="D15" s="6" t="s">
        <v>73</v>
      </c>
      <c r="E15" s="12">
        <v>3</v>
      </c>
    </row>
    <row r="16" spans="1:5" ht="36" customHeight="1" x14ac:dyDescent="0.3">
      <c r="A16" s="10">
        <v>11</v>
      </c>
      <c r="B16" s="11" t="s">
        <v>27</v>
      </c>
      <c r="C16" s="4" t="s">
        <v>74</v>
      </c>
      <c r="D16" s="4" t="s">
        <v>75</v>
      </c>
      <c r="E16" s="12">
        <v>1.5</v>
      </c>
    </row>
    <row r="17" spans="1:5" ht="36" customHeight="1" x14ac:dyDescent="0.3">
      <c r="A17" s="13">
        <v>12</v>
      </c>
      <c r="B17" s="11" t="s">
        <v>27</v>
      </c>
      <c r="C17" s="6" t="s">
        <v>76</v>
      </c>
      <c r="D17" s="6" t="s">
        <v>77</v>
      </c>
      <c r="E17" s="12">
        <v>2.5</v>
      </c>
    </row>
    <row r="18" spans="1:5" ht="36" customHeight="1" x14ac:dyDescent="0.3">
      <c r="A18" s="10">
        <v>13</v>
      </c>
      <c r="B18" s="11" t="s">
        <v>27</v>
      </c>
      <c r="C18" s="4" t="s">
        <v>78</v>
      </c>
      <c r="D18" s="4" t="s">
        <v>79</v>
      </c>
      <c r="E18" s="12">
        <v>1</v>
      </c>
    </row>
    <row r="19" spans="1:5" ht="36" customHeight="1" x14ac:dyDescent="0.3">
      <c r="A19" s="13">
        <v>14</v>
      </c>
      <c r="B19" s="11" t="s">
        <v>27</v>
      </c>
      <c r="C19" s="6" t="s">
        <v>80</v>
      </c>
      <c r="D19" s="6" t="s">
        <v>81</v>
      </c>
      <c r="E19" s="12">
        <v>1</v>
      </c>
    </row>
    <row r="20" spans="1:5" ht="21.75" customHeight="1" x14ac:dyDescent="0.3">
      <c r="A20" s="37" t="s">
        <v>82</v>
      </c>
      <c r="B20" s="37"/>
      <c r="C20" s="37"/>
      <c r="D20" s="37"/>
      <c r="E20" s="37"/>
    </row>
    <row r="21" spans="1:5" ht="36" customHeight="1" x14ac:dyDescent="0.3">
      <c r="A21" s="10">
        <v>15</v>
      </c>
      <c r="B21" s="15" t="s">
        <v>29</v>
      </c>
      <c r="C21" s="4" t="s">
        <v>83</v>
      </c>
      <c r="D21" s="4" t="s">
        <v>84</v>
      </c>
      <c r="E21" s="12">
        <v>2</v>
      </c>
    </row>
    <row r="22" spans="1:5" ht="36" customHeight="1" x14ac:dyDescent="0.3">
      <c r="A22" s="13">
        <v>16</v>
      </c>
      <c r="B22" s="15" t="s">
        <v>29</v>
      </c>
      <c r="C22" s="6" t="s">
        <v>85</v>
      </c>
      <c r="D22" s="6" t="s">
        <v>86</v>
      </c>
      <c r="E22" s="12">
        <v>2</v>
      </c>
    </row>
    <row r="23" spans="1:5" ht="36" customHeight="1" x14ac:dyDescent="0.3">
      <c r="A23" s="10">
        <v>17</v>
      </c>
      <c r="B23" s="15" t="s">
        <v>29</v>
      </c>
      <c r="C23" s="4" t="s">
        <v>87</v>
      </c>
      <c r="D23" s="4" t="s">
        <v>88</v>
      </c>
      <c r="E23" s="12">
        <v>1.5</v>
      </c>
    </row>
    <row r="24" spans="1:5" ht="36" customHeight="1" x14ac:dyDescent="0.3">
      <c r="A24" s="13">
        <v>18</v>
      </c>
      <c r="B24" s="15" t="s">
        <v>29</v>
      </c>
      <c r="C24" s="6" t="s">
        <v>89</v>
      </c>
      <c r="D24" s="6" t="s">
        <v>90</v>
      </c>
      <c r="E24" s="12">
        <v>1</v>
      </c>
    </row>
    <row r="25" spans="1:5" ht="36" customHeight="1" x14ac:dyDescent="0.3">
      <c r="A25" s="10">
        <v>19</v>
      </c>
      <c r="B25" s="15" t="s">
        <v>29</v>
      </c>
      <c r="C25" s="4" t="s">
        <v>91</v>
      </c>
      <c r="D25" s="4" t="s">
        <v>92</v>
      </c>
      <c r="E25" s="12">
        <v>1</v>
      </c>
    </row>
    <row r="26" spans="1:5" ht="36" customHeight="1" x14ac:dyDescent="0.3">
      <c r="A26" s="13">
        <v>20</v>
      </c>
      <c r="B26" s="15" t="s">
        <v>29</v>
      </c>
      <c r="C26" s="6" t="s">
        <v>93</v>
      </c>
      <c r="D26" s="6" t="s">
        <v>94</v>
      </c>
      <c r="E26" s="12">
        <v>0.5</v>
      </c>
    </row>
    <row r="27" spans="1:5" ht="21.75" customHeight="1" x14ac:dyDescent="0.3">
      <c r="A27" s="37" t="s">
        <v>95</v>
      </c>
      <c r="B27" s="37"/>
      <c r="C27" s="37"/>
      <c r="D27" s="37"/>
      <c r="E27" s="37"/>
    </row>
    <row r="28" spans="1:5" ht="36" customHeight="1" x14ac:dyDescent="0.3">
      <c r="A28" s="10">
        <v>21</v>
      </c>
      <c r="B28" s="16" t="s">
        <v>31</v>
      </c>
      <c r="C28" s="4" t="s">
        <v>96</v>
      </c>
      <c r="D28" s="4" t="s">
        <v>97</v>
      </c>
      <c r="E28" s="12">
        <v>1.5</v>
      </c>
    </row>
    <row r="29" spans="1:5" ht="36" customHeight="1" x14ac:dyDescent="0.3">
      <c r="A29" s="13">
        <v>22</v>
      </c>
      <c r="B29" s="16" t="s">
        <v>31</v>
      </c>
      <c r="C29" s="6" t="s">
        <v>98</v>
      </c>
      <c r="D29" s="6" t="s">
        <v>99</v>
      </c>
      <c r="E29" s="12">
        <v>1</v>
      </c>
    </row>
    <row r="30" spans="1:5" ht="36" customHeight="1" x14ac:dyDescent="0.3">
      <c r="A30" s="10">
        <v>23</v>
      </c>
      <c r="B30" s="16" t="s">
        <v>31</v>
      </c>
      <c r="C30" s="4" t="s">
        <v>100</v>
      </c>
      <c r="D30" s="4" t="s">
        <v>101</v>
      </c>
      <c r="E30" s="12">
        <v>2</v>
      </c>
    </row>
    <row r="31" spans="1:5" ht="36" customHeight="1" x14ac:dyDescent="0.3">
      <c r="A31" s="13">
        <v>24</v>
      </c>
      <c r="B31" s="16" t="s">
        <v>31</v>
      </c>
      <c r="C31" s="6" t="s">
        <v>102</v>
      </c>
      <c r="D31" s="6" t="s">
        <v>103</v>
      </c>
      <c r="E31" s="12">
        <v>0.5</v>
      </c>
    </row>
    <row r="32" spans="1:5" ht="21.75" customHeight="1" x14ac:dyDescent="0.3">
      <c r="A32" s="37" t="s">
        <v>104</v>
      </c>
      <c r="B32" s="37"/>
      <c r="C32" s="37"/>
      <c r="D32" s="37"/>
      <c r="E32" s="37"/>
    </row>
    <row r="33" spans="1:5" ht="36" customHeight="1" x14ac:dyDescent="0.3">
      <c r="A33" s="10">
        <v>25</v>
      </c>
      <c r="B33" s="17" t="s">
        <v>33</v>
      </c>
      <c r="C33" s="4" t="s">
        <v>105</v>
      </c>
      <c r="D33" s="4" t="s">
        <v>106</v>
      </c>
      <c r="E33" s="12">
        <v>1.5</v>
      </c>
    </row>
    <row r="34" spans="1:5" ht="36" customHeight="1" x14ac:dyDescent="0.3">
      <c r="A34" s="13">
        <v>26</v>
      </c>
      <c r="B34" s="17" t="s">
        <v>33</v>
      </c>
      <c r="C34" s="6" t="s">
        <v>107</v>
      </c>
      <c r="D34" s="6" t="s">
        <v>108</v>
      </c>
      <c r="E34" s="12">
        <v>2</v>
      </c>
    </row>
    <row r="35" spans="1:5" ht="36" customHeight="1" x14ac:dyDescent="0.3">
      <c r="A35" s="10">
        <v>27</v>
      </c>
      <c r="B35" s="17" t="s">
        <v>33</v>
      </c>
      <c r="C35" s="4" t="s">
        <v>109</v>
      </c>
      <c r="D35" s="4" t="s">
        <v>110</v>
      </c>
      <c r="E35" s="12">
        <v>2</v>
      </c>
    </row>
    <row r="36" spans="1:5" ht="36" customHeight="1" x14ac:dyDescent="0.3">
      <c r="A36" s="13">
        <v>28</v>
      </c>
      <c r="B36" s="17" t="s">
        <v>33</v>
      </c>
      <c r="C36" s="6" t="s">
        <v>111</v>
      </c>
      <c r="D36" s="6" t="s">
        <v>112</v>
      </c>
      <c r="E36" s="12">
        <v>0.5</v>
      </c>
    </row>
    <row r="37" spans="1:5" ht="21.75" customHeight="1" x14ac:dyDescent="0.3">
      <c r="A37" s="37" t="s">
        <v>113</v>
      </c>
      <c r="B37" s="37"/>
      <c r="C37" s="37"/>
      <c r="D37" s="37"/>
      <c r="E37" s="37"/>
    </row>
    <row r="38" spans="1:5" ht="36" customHeight="1" x14ac:dyDescent="0.3">
      <c r="A38" s="10">
        <v>29</v>
      </c>
      <c r="B38" s="18" t="s">
        <v>35</v>
      </c>
      <c r="C38" s="4" t="s">
        <v>114</v>
      </c>
      <c r="D38" s="4" t="s">
        <v>115</v>
      </c>
      <c r="E38" s="12">
        <v>0.5</v>
      </c>
    </row>
    <row r="39" spans="1:5" ht="36" customHeight="1" x14ac:dyDescent="0.3">
      <c r="A39" s="13">
        <v>30</v>
      </c>
      <c r="B39" s="18" t="s">
        <v>35</v>
      </c>
      <c r="C39" s="6" t="s">
        <v>116</v>
      </c>
      <c r="D39" s="6" t="s">
        <v>117</v>
      </c>
      <c r="E39" s="12">
        <v>2</v>
      </c>
    </row>
    <row r="40" spans="1:5" ht="36" customHeight="1" x14ac:dyDescent="0.3">
      <c r="A40" s="10">
        <v>31</v>
      </c>
      <c r="B40" s="18" t="s">
        <v>35</v>
      </c>
      <c r="C40" s="4" t="s">
        <v>118</v>
      </c>
      <c r="D40" s="4" t="s">
        <v>119</v>
      </c>
      <c r="E40" s="12">
        <v>2</v>
      </c>
    </row>
    <row r="41" spans="1:5" ht="36" customHeight="1" x14ac:dyDescent="0.3">
      <c r="A41" s="13">
        <v>32</v>
      </c>
      <c r="B41" s="18" t="s">
        <v>35</v>
      </c>
      <c r="C41" s="6" t="s">
        <v>120</v>
      </c>
      <c r="D41" s="6" t="s">
        <v>121</v>
      </c>
      <c r="E41" s="12">
        <v>1</v>
      </c>
    </row>
    <row r="42" spans="1:5" ht="36" customHeight="1" x14ac:dyDescent="0.3">
      <c r="A42" s="10">
        <v>33</v>
      </c>
      <c r="B42" s="18" t="s">
        <v>35</v>
      </c>
      <c r="C42" s="4" t="s">
        <v>122</v>
      </c>
      <c r="D42" s="4" t="s">
        <v>123</v>
      </c>
      <c r="E42" s="12">
        <v>0.5</v>
      </c>
    </row>
    <row r="43" spans="1:5" ht="21.75" customHeight="1" x14ac:dyDescent="0.3">
      <c r="A43" s="37" t="s">
        <v>124</v>
      </c>
      <c r="B43" s="37"/>
      <c r="C43" s="37"/>
      <c r="D43" s="37"/>
      <c r="E43" s="37"/>
    </row>
    <row r="44" spans="1:5" ht="36" customHeight="1" x14ac:dyDescent="0.3">
      <c r="A44" s="13">
        <v>34</v>
      </c>
      <c r="B44" s="19" t="s">
        <v>37</v>
      </c>
      <c r="C44" s="6" t="s">
        <v>125</v>
      </c>
      <c r="D44" s="6" t="s">
        <v>126</v>
      </c>
      <c r="E44" s="12">
        <v>2.5</v>
      </c>
    </row>
    <row r="45" spans="1:5" ht="36" customHeight="1" x14ac:dyDescent="0.3">
      <c r="A45" s="10">
        <v>35</v>
      </c>
      <c r="B45" s="19" t="s">
        <v>37</v>
      </c>
      <c r="C45" s="4" t="s">
        <v>127</v>
      </c>
      <c r="D45" s="4" t="s">
        <v>128</v>
      </c>
      <c r="E45" s="12">
        <v>1</v>
      </c>
    </row>
    <row r="46" spans="1:5" ht="36" customHeight="1" x14ac:dyDescent="0.3">
      <c r="A46" s="13">
        <v>36</v>
      </c>
      <c r="B46" s="19" t="s">
        <v>37</v>
      </c>
      <c r="C46" s="6" t="s">
        <v>129</v>
      </c>
      <c r="D46" s="6" t="s">
        <v>130</v>
      </c>
      <c r="E46" s="12">
        <v>0.5</v>
      </c>
    </row>
    <row r="47" spans="1:5" ht="21.75" customHeight="1" x14ac:dyDescent="0.3">
      <c r="A47" s="37" t="s">
        <v>131</v>
      </c>
      <c r="B47" s="37"/>
      <c r="C47" s="37"/>
      <c r="D47" s="37"/>
      <c r="E47" s="37"/>
    </row>
    <row r="48" spans="1:5" ht="36" customHeight="1" x14ac:dyDescent="0.3">
      <c r="A48" s="10">
        <v>37</v>
      </c>
      <c r="B48" s="11" t="s">
        <v>39</v>
      </c>
      <c r="C48" s="4" t="s">
        <v>132</v>
      </c>
      <c r="D48" s="4" t="s">
        <v>133</v>
      </c>
      <c r="E48" s="12">
        <v>2.5</v>
      </c>
    </row>
    <row r="49" spans="1:5" ht="36" customHeight="1" x14ac:dyDescent="0.3">
      <c r="A49" s="13">
        <v>38</v>
      </c>
      <c r="B49" s="11" t="s">
        <v>39</v>
      </c>
      <c r="C49" s="6" t="s">
        <v>134</v>
      </c>
      <c r="D49" s="6" t="s">
        <v>135</v>
      </c>
      <c r="E49" s="12">
        <v>1</v>
      </c>
    </row>
    <row r="50" spans="1:5" ht="36" customHeight="1" x14ac:dyDescent="0.3">
      <c r="A50" s="10">
        <v>39</v>
      </c>
      <c r="B50" s="11" t="s">
        <v>39</v>
      </c>
      <c r="C50" s="4" t="s">
        <v>136</v>
      </c>
      <c r="D50" s="4" t="s">
        <v>137</v>
      </c>
      <c r="E50" s="12">
        <v>1</v>
      </c>
    </row>
    <row r="51" spans="1:5" ht="36" customHeight="1" x14ac:dyDescent="0.3">
      <c r="A51" s="13">
        <v>40</v>
      </c>
      <c r="B51" s="11" t="s">
        <v>39</v>
      </c>
      <c r="C51" s="6" t="s">
        <v>138</v>
      </c>
      <c r="D51" s="6" t="s">
        <v>139</v>
      </c>
      <c r="E51" s="12">
        <v>0.5</v>
      </c>
    </row>
    <row r="52" spans="1:5" ht="21.75" customHeight="1" x14ac:dyDescent="0.3">
      <c r="A52" s="37" t="s">
        <v>252</v>
      </c>
      <c r="B52" s="37"/>
      <c r="C52" s="37"/>
      <c r="D52" s="37"/>
      <c r="E52" s="37"/>
    </row>
    <row r="53" spans="1:5" ht="36" customHeight="1" x14ac:dyDescent="0.3">
      <c r="A53" s="13">
        <v>41</v>
      </c>
      <c r="B53" s="20" t="s">
        <v>41</v>
      </c>
      <c r="C53" s="6" t="s">
        <v>253</v>
      </c>
      <c r="D53" s="6" t="s">
        <v>140</v>
      </c>
      <c r="E53" s="12">
        <v>1.5</v>
      </c>
    </row>
    <row r="54" spans="1:5" ht="36" customHeight="1" x14ac:dyDescent="0.3">
      <c r="A54" s="13">
        <v>42</v>
      </c>
      <c r="B54" s="20" t="s">
        <v>41</v>
      </c>
      <c r="C54" s="4" t="s">
        <v>258</v>
      </c>
      <c r="D54" s="4" t="s">
        <v>141</v>
      </c>
      <c r="E54" s="12">
        <v>2</v>
      </c>
    </row>
    <row r="55" spans="1:5" ht="36" customHeight="1" x14ac:dyDescent="0.3">
      <c r="A55" s="13">
        <v>43</v>
      </c>
      <c r="B55" s="20" t="s">
        <v>41</v>
      </c>
      <c r="C55" s="6" t="s">
        <v>257</v>
      </c>
      <c r="D55" s="6" t="s">
        <v>142</v>
      </c>
      <c r="E55" s="12">
        <v>1.5</v>
      </c>
    </row>
    <row r="56" spans="1:5" ht="36" customHeight="1" x14ac:dyDescent="0.3">
      <c r="A56" s="13">
        <v>44</v>
      </c>
      <c r="B56" s="20" t="s">
        <v>41</v>
      </c>
      <c r="C56" s="4" t="s">
        <v>256</v>
      </c>
      <c r="D56" s="4" t="s">
        <v>143</v>
      </c>
      <c r="E56" s="12">
        <v>1</v>
      </c>
    </row>
    <row r="57" spans="1:5" ht="36" customHeight="1" x14ac:dyDescent="0.3">
      <c r="A57" s="13">
        <v>45</v>
      </c>
      <c r="B57" s="20" t="s">
        <v>41</v>
      </c>
      <c r="C57" s="6" t="s">
        <v>198</v>
      </c>
      <c r="D57" s="6" t="s">
        <v>144</v>
      </c>
      <c r="E57" s="12">
        <v>2</v>
      </c>
    </row>
    <row r="58" spans="1:5" ht="36" customHeight="1" x14ac:dyDescent="0.3">
      <c r="A58" s="13">
        <v>46</v>
      </c>
      <c r="B58" s="20" t="s">
        <v>41</v>
      </c>
      <c r="C58" s="4" t="s">
        <v>255</v>
      </c>
      <c r="D58" s="4" t="s">
        <v>145</v>
      </c>
      <c r="E58" s="12">
        <v>1</v>
      </c>
    </row>
    <row r="59" spans="1:5" ht="36" customHeight="1" x14ac:dyDescent="0.3">
      <c r="A59" s="13">
        <v>47</v>
      </c>
      <c r="B59" s="20" t="s">
        <v>41</v>
      </c>
      <c r="C59" s="6" t="s">
        <v>254</v>
      </c>
      <c r="D59" s="6" t="s">
        <v>146</v>
      </c>
      <c r="E59" s="12">
        <v>1</v>
      </c>
    </row>
    <row r="60" spans="1:5" ht="21.75" customHeight="1" x14ac:dyDescent="0.3">
      <c r="A60" s="37" t="s">
        <v>147</v>
      </c>
      <c r="B60" s="37"/>
      <c r="C60" s="37"/>
      <c r="D60" s="37"/>
      <c r="E60" s="37"/>
    </row>
    <row r="61" spans="1:5" ht="36" customHeight="1" x14ac:dyDescent="0.3">
      <c r="A61" s="13">
        <v>48</v>
      </c>
      <c r="B61" s="21" t="s">
        <v>42</v>
      </c>
      <c r="C61" s="6" t="s">
        <v>148</v>
      </c>
      <c r="D61" s="6" t="s">
        <v>149</v>
      </c>
      <c r="E61" s="12">
        <v>2</v>
      </c>
    </row>
    <row r="62" spans="1:5" ht="36" customHeight="1" x14ac:dyDescent="0.3">
      <c r="A62" s="10">
        <v>49</v>
      </c>
      <c r="B62" s="21" t="s">
        <v>42</v>
      </c>
      <c r="C62" s="4" t="s">
        <v>150</v>
      </c>
      <c r="D62" s="4" t="s">
        <v>151</v>
      </c>
      <c r="E62" s="12">
        <v>2</v>
      </c>
    </row>
    <row r="63" spans="1:5" ht="36" customHeight="1" x14ac:dyDescent="0.3">
      <c r="A63" s="13">
        <v>50</v>
      </c>
      <c r="B63" s="21" t="s">
        <v>42</v>
      </c>
      <c r="C63" s="6" t="s">
        <v>152</v>
      </c>
      <c r="D63" s="6" t="s">
        <v>153</v>
      </c>
      <c r="E63" s="12">
        <v>2</v>
      </c>
    </row>
    <row r="64" spans="1:5" ht="25.5" customHeight="1" x14ac:dyDescent="0.3">
      <c r="A64" s="38" t="s">
        <v>154</v>
      </c>
      <c r="B64" s="38"/>
      <c r="C64" s="38"/>
      <c r="D64" s="38"/>
      <c r="E64" s="22">
        <f>E4+E5+E6+E7+E9+E10+E11+E13+E14+E15+E16+E17+E18+E19+E21+E22+E23+E24+E25+E26+E28+E29+E30+E31+E33+E34+E35+E36+E38+E39+E40+E41+E42+E44+E45+E46+E48+E49+E50+E51+E53+E54+E55+E56+E57+E58+E59+E61+E62+E63</f>
        <v>70</v>
      </c>
    </row>
  </sheetData>
  <mergeCells count="13">
    <mergeCell ref="A1:E1"/>
    <mergeCell ref="A3:E3"/>
    <mergeCell ref="A8:E8"/>
    <mergeCell ref="A12:E12"/>
    <mergeCell ref="A47:E47"/>
    <mergeCell ref="A52:E52"/>
    <mergeCell ref="A60:E60"/>
    <mergeCell ref="A64:D64"/>
    <mergeCell ref="A20:E20"/>
    <mergeCell ref="A27:E27"/>
    <mergeCell ref="A32:E32"/>
    <mergeCell ref="A37:E37"/>
    <mergeCell ref="A43:E4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showGridLines="0" zoomScaleNormal="100" workbookViewId="0">
      <pane ySplit="2" topLeftCell="A3" activePane="bottomLeft" state="frozen"/>
      <selection pane="bottomLeft" activeCell="A9" sqref="A9:XFD9"/>
    </sheetView>
  </sheetViews>
  <sheetFormatPr defaultColWidth="8.6640625" defaultRowHeight="14.4" x14ac:dyDescent="0.3"/>
  <cols>
    <col min="1" max="1" width="13" customWidth="1"/>
    <col min="2" max="2" width="58" customWidth="1"/>
    <col min="3" max="3" width="20" customWidth="1"/>
    <col min="4" max="4" width="12" customWidth="1"/>
    <col min="5" max="5" width="14" customWidth="1"/>
    <col min="6" max="6" width="3" customWidth="1"/>
  </cols>
  <sheetData>
    <row r="1" spans="1:5" ht="13.5" customHeight="1" x14ac:dyDescent="0.3">
      <c r="A1" s="33" t="s">
        <v>155</v>
      </c>
      <c r="B1" s="33"/>
      <c r="C1" s="33"/>
      <c r="D1" s="33"/>
      <c r="E1" s="33"/>
    </row>
    <row r="2" spans="1:5" ht="31.5" customHeight="1" x14ac:dyDescent="0.3">
      <c r="A2" s="2" t="s">
        <v>156</v>
      </c>
      <c r="B2" s="2" t="s">
        <v>157</v>
      </c>
      <c r="C2" s="2" t="s">
        <v>158</v>
      </c>
      <c r="D2" s="2" t="s">
        <v>22</v>
      </c>
      <c r="E2" s="2" t="s">
        <v>159</v>
      </c>
    </row>
    <row r="3" spans="1:5" ht="79.5" customHeight="1" x14ac:dyDescent="0.3">
      <c r="A3" s="23" t="s">
        <v>160</v>
      </c>
      <c r="B3" s="24" t="s">
        <v>161</v>
      </c>
      <c r="C3" s="25" t="s">
        <v>162</v>
      </c>
      <c r="D3" s="25">
        <v>18</v>
      </c>
      <c r="E3" s="25">
        <v>18</v>
      </c>
    </row>
    <row r="4" spans="1:5" ht="79.5" customHeight="1" x14ac:dyDescent="0.3">
      <c r="A4" s="10" t="s">
        <v>163</v>
      </c>
      <c r="B4" s="4" t="s">
        <v>164</v>
      </c>
      <c r="C4" s="3" t="s">
        <v>165</v>
      </c>
      <c r="D4" s="3">
        <v>22</v>
      </c>
      <c r="E4" s="3">
        <v>40</v>
      </c>
    </row>
    <row r="5" spans="1:5" ht="79.5" customHeight="1" x14ac:dyDescent="0.3">
      <c r="A5" s="23" t="s">
        <v>166</v>
      </c>
      <c r="B5" s="24" t="s">
        <v>259</v>
      </c>
      <c r="C5" s="25" t="s">
        <v>167</v>
      </c>
      <c r="D5" s="25">
        <v>22</v>
      </c>
      <c r="E5" s="25">
        <v>62</v>
      </c>
    </row>
    <row r="6" spans="1:5" ht="79.5" customHeight="1" x14ac:dyDescent="0.3">
      <c r="A6" s="10" t="s">
        <v>168</v>
      </c>
      <c r="B6" s="4" t="s">
        <v>169</v>
      </c>
      <c r="C6" s="3" t="s">
        <v>42</v>
      </c>
      <c r="D6" s="3">
        <v>8</v>
      </c>
      <c r="E6" s="3">
        <v>70</v>
      </c>
    </row>
    <row r="7" spans="1:5" ht="25.5" customHeight="1" x14ac:dyDescent="0.3">
      <c r="A7" s="39" t="s">
        <v>44</v>
      </c>
      <c r="B7" s="39"/>
      <c r="C7" s="39"/>
      <c r="D7" s="9">
        <f>SUM(D3:D6)</f>
        <v>70</v>
      </c>
      <c r="E7" s="9">
        <f>D7</f>
        <v>70</v>
      </c>
    </row>
  </sheetData>
  <mergeCells count="2">
    <mergeCell ref="A1:E1"/>
    <mergeCell ref="A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showGridLines="0" zoomScaleNormal="100" workbookViewId="0">
      <pane ySplit="2" topLeftCell="A31" activePane="bottomLeft" state="frozen"/>
      <selection pane="bottomLeft" activeCell="D16" sqref="D16:D25"/>
    </sheetView>
  </sheetViews>
  <sheetFormatPr defaultColWidth="8.6640625" defaultRowHeight="14.4" x14ac:dyDescent="0.3"/>
  <cols>
    <col min="1" max="1" width="5" customWidth="1"/>
    <col min="2" max="2" width="10" customWidth="1"/>
    <col min="3" max="3" width="36" customWidth="1"/>
    <col min="4" max="4" width="44" customWidth="1"/>
    <col min="5" max="5" width="3" customWidth="1"/>
  </cols>
  <sheetData>
    <row r="1" spans="1:4" ht="13.5" customHeight="1" x14ac:dyDescent="0.3">
      <c r="A1" s="33" t="s">
        <v>170</v>
      </c>
      <c r="B1" s="33"/>
      <c r="C1" s="33"/>
      <c r="D1" s="33"/>
    </row>
    <row r="2" spans="1:4" ht="27.75" customHeight="1" x14ac:dyDescent="0.3">
      <c r="A2" s="11" t="s">
        <v>48</v>
      </c>
      <c r="B2" s="11" t="s">
        <v>171</v>
      </c>
      <c r="C2" s="11" t="s">
        <v>172</v>
      </c>
      <c r="D2" s="11" t="s">
        <v>173</v>
      </c>
    </row>
    <row r="3" spans="1:4" ht="30" customHeight="1" x14ac:dyDescent="0.3">
      <c r="A3" s="26">
        <v>1</v>
      </c>
      <c r="B3" s="17" t="s">
        <v>174</v>
      </c>
      <c r="C3" s="27" t="s">
        <v>175</v>
      </c>
      <c r="D3" s="27" t="s">
        <v>176</v>
      </c>
    </row>
    <row r="4" spans="1:4" ht="30" customHeight="1" x14ac:dyDescent="0.3">
      <c r="A4" s="28">
        <v>2</v>
      </c>
      <c r="B4" s="17" t="s">
        <v>174</v>
      </c>
      <c r="C4" s="29" t="s">
        <v>177</v>
      </c>
      <c r="D4" s="29" t="s">
        <v>178</v>
      </c>
    </row>
    <row r="5" spans="1:4" ht="30" customHeight="1" x14ac:dyDescent="0.3">
      <c r="A5" s="26">
        <v>3</v>
      </c>
      <c r="B5" s="17" t="s">
        <v>174</v>
      </c>
      <c r="C5" s="27" t="s">
        <v>179</v>
      </c>
      <c r="D5" s="27" t="s">
        <v>180</v>
      </c>
    </row>
    <row r="6" spans="1:4" ht="30" customHeight="1" x14ac:dyDescent="0.3">
      <c r="A6" s="28">
        <v>4</v>
      </c>
      <c r="B6" s="17" t="s">
        <v>174</v>
      </c>
      <c r="C6" s="29" t="s">
        <v>181</v>
      </c>
      <c r="D6" s="29" t="s">
        <v>182</v>
      </c>
    </row>
    <row r="7" spans="1:4" ht="30" customHeight="1" x14ac:dyDescent="0.3">
      <c r="A7" s="26">
        <v>5</v>
      </c>
      <c r="B7" s="17" t="s">
        <v>174</v>
      </c>
      <c r="C7" s="27" t="s">
        <v>183</v>
      </c>
      <c r="D7" s="27" t="s">
        <v>184</v>
      </c>
    </row>
    <row r="8" spans="1:4" ht="30" customHeight="1" x14ac:dyDescent="0.3">
      <c r="A8" s="28">
        <v>6</v>
      </c>
      <c r="B8" s="17" t="s">
        <v>174</v>
      </c>
      <c r="C8" s="29" t="s">
        <v>185</v>
      </c>
      <c r="D8" s="29" t="s">
        <v>186</v>
      </c>
    </row>
    <row r="9" spans="1:4" ht="30" customHeight="1" x14ac:dyDescent="0.3">
      <c r="A9" s="26">
        <v>7</v>
      </c>
      <c r="B9" s="17" t="s">
        <v>174</v>
      </c>
      <c r="C9" s="27" t="s">
        <v>187</v>
      </c>
      <c r="D9" s="27" t="s">
        <v>188</v>
      </c>
    </row>
    <row r="10" spans="1:4" ht="30" customHeight="1" x14ac:dyDescent="0.3">
      <c r="A10" s="28">
        <v>8</v>
      </c>
      <c r="B10" s="17" t="s">
        <v>174</v>
      </c>
      <c r="C10" s="29" t="s">
        <v>189</v>
      </c>
      <c r="D10" s="29" t="s">
        <v>190</v>
      </c>
    </row>
    <row r="11" spans="1:4" ht="30" customHeight="1" x14ac:dyDescent="0.3">
      <c r="A11" s="26">
        <v>9</v>
      </c>
      <c r="B11" s="17" t="s">
        <v>174</v>
      </c>
      <c r="C11" s="27" t="s">
        <v>191</v>
      </c>
      <c r="D11" s="27" t="s">
        <v>192</v>
      </c>
    </row>
    <row r="12" spans="1:4" ht="30" customHeight="1" x14ac:dyDescent="0.3">
      <c r="A12" s="28">
        <v>10</v>
      </c>
      <c r="B12" s="17" t="s">
        <v>174</v>
      </c>
      <c r="C12" s="29" t="s">
        <v>193</v>
      </c>
      <c r="D12" s="29" t="s">
        <v>194</v>
      </c>
    </row>
    <row r="13" spans="1:4" ht="30" customHeight="1" x14ac:dyDescent="0.3">
      <c r="A13" s="28">
        <v>11</v>
      </c>
      <c r="B13" s="17" t="s">
        <v>174</v>
      </c>
      <c r="C13" s="29" t="s">
        <v>260</v>
      </c>
      <c r="D13" s="29" t="s">
        <v>195</v>
      </c>
    </row>
    <row r="14" spans="1:4" ht="30" customHeight="1" x14ac:dyDescent="0.3">
      <c r="A14" s="28">
        <v>12</v>
      </c>
      <c r="B14" s="17" t="s">
        <v>174</v>
      </c>
      <c r="C14" s="29" t="s">
        <v>196</v>
      </c>
      <c r="D14" s="29" t="s">
        <v>197</v>
      </c>
    </row>
    <row r="15" spans="1:4" ht="30" customHeight="1" x14ac:dyDescent="0.3">
      <c r="A15" s="26">
        <v>13</v>
      </c>
      <c r="B15" s="17" t="s">
        <v>174</v>
      </c>
      <c r="C15" s="27" t="s">
        <v>198</v>
      </c>
      <c r="D15" s="27" t="s">
        <v>199</v>
      </c>
    </row>
    <row r="16" spans="1:4" ht="30" customHeight="1" x14ac:dyDescent="0.3">
      <c r="A16" s="30">
        <v>14</v>
      </c>
      <c r="B16" s="18" t="s">
        <v>200</v>
      </c>
      <c r="C16" s="31" t="s">
        <v>201</v>
      </c>
      <c r="D16" s="31"/>
    </row>
    <row r="17" spans="1:4" ht="30" customHeight="1" x14ac:dyDescent="0.3">
      <c r="A17" s="30">
        <v>15</v>
      </c>
      <c r="B17" s="18" t="s">
        <v>200</v>
      </c>
      <c r="C17" s="31" t="s">
        <v>202</v>
      </c>
      <c r="D17" s="31"/>
    </row>
    <row r="18" spans="1:4" ht="30" customHeight="1" x14ac:dyDescent="0.3">
      <c r="A18" s="30">
        <v>16</v>
      </c>
      <c r="B18" s="18" t="s">
        <v>200</v>
      </c>
      <c r="C18" s="31" t="s">
        <v>203</v>
      </c>
      <c r="D18" s="31"/>
    </row>
    <row r="19" spans="1:4" ht="30" customHeight="1" x14ac:dyDescent="0.3">
      <c r="A19" s="30">
        <v>17</v>
      </c>
      <c r="B19" s="18" t="s">
        <v>200</v>
      </c>
      <c r="C19" s="31" t="s">
        <v>204</v>
      </c>
      <c r="D19" s="31"/>
    </row>
    <row r="20" spans="1:4" ht="30" customHeight="1" x14ac:dyDescent="0.3">
      <c r="A20" s="30">
        <v>18</v>
      </c>
      <c r="B20" s="18" t="s">
        <v>200</v>
      </c>
      <c r="C20" s="31" t="s">
        <v>205</v>
      </c>
      <c r="D20" s="31"/>
    </row>
    <row r="21" spans="1:4" ht="30" customHeight="1" x14ac:dyDescent="0.3">
      <c r="A21" s="30">
        <v>19</v>
      </c>
      <c r="B21" s="18" t="s">
        <v>200</v>
      </c>
      <c r="C21" s="31" t="s">
        <v>206</v>
      </c>
      <c r="D21" s="31"/>
    </row>
    <row r="22" spans="1:4" ht="30" customHeight="1" x14ac:dyDescent="0.3">
      <c r="A22" s="30">
        <v>20</v>
      </c>
      <c r="B22" s="18" t="s">
        <v>200</v>
      </c>
      <c r="C22" s="31" t="s">
        <v>207</v>
      </c>
      <c r="D22" s="31"/>
    </row>
    <row r="23" spans="1:4" ht="30" customHeight="1" x14ac:dyDescent="0.3">
      <c r="A23" s="30">
        <v>21</v>
      </c>
      <c r="B23" s="18" t="s">
        <v>200</v>
      </c>
      <c r="C23" s="31" t="s">
        <v>208</v>
      </c>
      <c r="D23" s="31"/>
    </row>
    <row r="24" spans="1:4" ht="30" customHeight="1" x14ac:dyDescent="0.3">
      <c r="A24" s="30">
        <v>22</v>
      </c>
      <c r="B24" s="18" t="s">
        <v>200</v>
      </c>
      <c r="C24" s="31" t="s">
        <v>209</v>
      </c>
      <c r="D24" s="31"/>
    </row>
    <row r="25" spans="1:4" ht="30" customHeight="1" x14ac:dyDescent="0.3">
      <c r="A25" s="30">
        <v>23</v>
      </c>
      <c r="B25" s="18" t="s">
        <v>200</v>
      </c>
      <c r="C25" s="31" t="s">
        <v>210</v>
      </c>
      <c r="D25" s="31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showGridLines="0" zoomScaleNormal="100" workbookViewId="0">
      <pane ySplit="2" topLeftCell="A13" activePane="bottomLeft" state="frozen"/>
      <selection pane="bottomLeft" activeCell="B17" sqref="B17"/>
    </sheetView>
  </sheetViews>
  <sheetFormatPr defaultColWidth="8.6640625" defaultRowHeight="14.4" x14ac:dyDescent="0.3"/>
  <cols>
    <col min="1" max="1" width="5" customWidth="1"/>
    <col min="2" max="2" width="40" customWidth="1"/>
    <col min="3" max="4" width="24" customWidth="1"/>
    <col min="5" max="5" width="3" customWidth="1"/>
  </cols>
  <sheetData>
    <row r="1" spans="1:4" ht="13.5" customHeight="1" x14ac:dyDescent="0.3">
      <c r="A1" s="33" t="s">
        <v>211</v>
      </c>
      <c r="B1" s="33"/>
      <c r="C1" s="33"/>
      <c r="D1" s="33"/>
    </row>
    <row r="2" spans="1:4" ht="31.5" customHeight="1" x14ac:dyDescent="0.3">
      <c r="A2" s="2" t="s">
        <v>48</v>
      </c>
      <c r="B2" s="2" t="s">
        <v>212</v>
      </c>
      <c r="C2" s="2" t="s">
        <v>213</v>
      </c>
      <c r="D2" s="2" t="s">
        <v>214</v>
      </c>
    </row>
    <row r="3" spans="1:4" ht="24" customHeight="1" x14ac:dyDescent="0.3">
      <c r="A3" s="3">
        <v>1</v>
      </c>
      <c r="B3" s="4" t="s">
        <v>215</v>
      </c>
      <c r="C3" s="27" t="s">
        <v>216</v>
      </c>
      <c r="D3" s="29" t="s">
        <v>217</v>
      </c>
    </row>
    <row r="4" spans="1:4" ht="24" customHeight="1" x14ac:dyDescent="0.3">
      <c r="A4" s="5">
        <v>2</v>
      </c>
      <c r="B4" s="6" t="s">
        <v>218</v>
      </c>
      <c r="C4" s="27" t="s">
        <v>219</v>
      </c>
      <c r="D4" s="29" t="s">
        <v>220</v>
      </c>
    </row>
    <row r="5" spans="1:4" ht="24" customHeight="1" x14ac:dyDescent="0.3">
      <c r="A5" s="3">
        <v>3</v>
      </c>
      <c r="B5" s="4" t="s">
        <v>221</v>
      </c>
      <c r="C5" s="27" t="s">
        <v>222</v>
      </c>
      <c r="D5" s="29" t="s">
        <v>222</v>
      </c>
    </row>
    <row r="6" spans="1:4" ht="24" customHeight="1" x14ac:dyDescent="0.3">
      <c r="A6" s="5">
        <v>4</v>
      </c>
      <c r="B6" s="6" t="s">
        <v>223</v>
      </c>
      <c r="C6" s="27" t="s">
        <v>224</v>
      </c>
      <c r="D6" s="29" t="s">
        <v>224</v>
      </c>
    </row>
    <row r="7" spans="1:4" ht="24" customHeight="1" x14ac:dyDescent="0.3">
      <c r="A7" s="3">
        <v>5</v>
      </c>
      <c r="B7" s="4" t="s">
        <v>225</v>
      </c>
      <c r="C7" s="27" t="s">
        <v>226</v>
      </c>
      <c r="D7" s="29" t="s">
        <v>226</v>
      </c>
    </row>
    <row r="8" spans="1:4" ht="24" customHeight="1" x14ac:dyDescent="0.3">
      <c r="A8" s="5">
        <v>6</v>
      </c>
      <c r="B8" s="6" t="s">
        <v>227</v>
      </c>
      <c r="C8" s="27" t="s">
        <v>228</v>
      </c>
      <c r="D8" s="29" t="s">
        <v>228</v>
      </c>
    </row>
    <row r="9" spans="1:4" ht="24" customHeight="1" x14ac:dyDescent="0.3">
      <c r="A9" s="3">
        <v>7</v>
      </c>
      <c r="B9" s="4" t="s">
        <v>229</v>
      </c>
      <c r="C9" s="27" t="s">
        <v>228</v>
      </c>
      <c r="D9" s="29" t="s">
        <v>228</v>
      </c>
    </row>
    <row r="10" spans="1:4" ht="24" customHeight="1" x14ac:dyDescent="0.3">
      <c r="A10" s="5">
        <v>8</v>
      </c>
      <c r="B10" s="6" t="s">
        <v>230</v>
      </c>
      <c r="C10" s="27" t="s">
        <v>228</v>
      </c>
      <c r="D10" s="29" t="s">
        <v>228</v>
      </c>
    </row>
    <row r="11" spans="1:4" ht="24" customHeight="1" x14ac:dyDescent="0.3">
      <c r="A11" s="3">
        <v>9</v>
      </c>
      <c r="B11" s="4" t="s">
        <v>231</v>
      </c>
      <c r="C11" s="27" t="s">
        <v>232</v>
      </c>
      <c r="D11" s="29" t="s">
        <v>233</v>
      </c>
    </row>
    <row r="12" spans="1:4" ht="24" customHeight="1" x14ac:dyDescent="0.3">
      <c r="A12" s="5">
        <v>10</v>
      </c>
      <c r="B12" s="6" t="s">
        <v>234</v>
      </c>
      <c r="C12" s="27" t="s">
        <v>235</v>
      </c>
      <c r="D12" s="29" t="s">
        <v>235</v>
      </c>
    </row>
    <row r="13" spans="1:4" ht="24" customHeight="1" x14ac:dyDescent="0.3">
      <c r="A13" s="3">
        <v>11</v>
      </c>
      <c r="B13" s="4" t="s">
        <v>236</v>
      </c>
      <c r="C13" s="27" t="s">
        <v>228</v>
      </c>
      <c r="D13" s="29" t="s">
        <v>228</v>
      </c>
    </row>
    <row r="14" spans="1:4" ht="24" customHeight="1" x14ac:dyDescent="0.3">
      <c r="A14" s="5">
        <v>12</v>
      </c>
      <c r="B14" s="6" t="s">
        <v>237</v>
      </c>
      <c r="C14" s="27" t="s">
        <v>228</v>
      </c>
      <c r="D14" s="29" t="s">
        <v>228</v>
      </c>
    </row>
    <row r="15" spans="1:4" ht="24" customHeight="1" x14ac:dyDescent="0.3">
      <c r="A15" s="3">
        <v>13</v>
      </c>
      <c r="B15" s="4" t="s">
        <v>238</v>
      </c>
      <c r="C15" s="27" t="s">
        <v>228</v>
      </c>
      <c r="D15" s="29" t="s">
        <v>228</v>
      </c>
    </row>
    <row r="16" spans="1:4" ht="24" customHeight="1" x14ac:dyDescent="0.3">
      <c r="A16" s="5">
        <v>14</v>
      </c>
      <c r="B16" s="6" t="s">
        <v>40</v>
      </c>
      <c r="C16" s="27" t="s">
        <v>239</v>
      </c>
      <c r="D16" s="29" t="s">
        <v>239</v>
      </c>
    </row>
    <row r="17" spans="1:4" ht="24" customHeight="1" x14ac:dyDescent="0.3">
      <c r="A17" s="3">
        <v>15</v>
      </c>
      <c r="B17" s="4" t="s">
        <v>262</v>
      </c>
      <c r="C17" s="27" t="s">
        <v>240</v>
      </c>
      <c r="D17" s="29" t="s">
        <v>240</v>
      </c>
    </row>
    <row r="18" spans="1:4" ht="24" customHeight="1" x14ac:dyDescent="0.3">
      <c r="A18" s="5">
        <v>16</v>
      </c>
      <c r="B18" s="6" t="s">
        <v>198</v>
      </c>
      <c r="C18" s="27" t="s">
        <v>241</v>
      </c>
      <c r="D18" s="29" t="s">
        <v>241</v>
      </c>
    </row>
    <row r="19" spans="1:4" ht="24" customHeight="1" x14ac:dyDescent="0.3">
      <c r="A19" s="3">
        <v>17</v>
      </c>
      <c r="B19" s="4" t="s">
        <v>261</v>
      </c>
      <c r="C19" s="27" t="s">
        <v>242</v>
      </c>
      <c r="D19" s="29" t="s">
        <v>242</v>
      </c>
    </row>
    <row r="20" spans="1:4" ht="24" customHeight="1" x14ac:dyDescent="0.3">
      <c r="A20" s="5">
        <v>18</v>
      </c>
      <c r="B20" s="6" t="s">
        <v>243</v>
      </c>
      <c r="C20" s="27" t="s">
        <v>244</v>
      </c>
      <c r="D20" s="29" t="s">
        <v>245</v>
      </c>
    </row>
    <row r="21" spans="1:4" ht="24" customHeight="1" x14ac:dyDescent="0.3">
      <c r="A21" s="3">
        <v>19</v>
      </c>
      <c r="B21" s="4" t="s">
        <v>246</v>
      </c>
      <c r="C21" s="27" t="s">
        <v>247</v>
      </c>
      <c r="D21" s="29" t="s">
        <v>247</v>
      </c>
    </row>
    <row r="22" spans="1:4" ht="24" customHeight="1" x14ac:dyDescent="0.3">
      <c r="A22" s="5">
        <v>20</v>
      </c>
      <c r="B22" s="6" t="s">
        <v>248</v>
      </c>
      <c r="C22" s="27" t="s">
        <v>247</v>
      </c>
      <c r="D22" s="29" t="s">
        <v>247</v>
      </c>
    </row>
    <row r="23" spans="1:4" ht="24" customHeight="1" x14ac:dyDescent="0.3">
      <c r="A23" s="3">
        <v>21</v>
      </c>
      <c r="B23" s="4" t="s">
        <v>249</v>
      </c>
      <c r="C23" s="27" t="s">
        <v>250</v>
      </c>
      <c r="D23" s="29" t="s">
        <v>247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Estimation</vt:lpstr>
      <vt:lpstr>Sprint Plan</vt:lpstr>
      <vt:lpstr>Scope Decisions</vt:lpstr>
      <vt:lpstr>Subscription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Pranav Tripathi</cp:lastModifiedBy>
  <cp:revision>0</cp:revision>
  <dcterms:created xsi:type="dcterms:W3CDTF">2026-02-27T16:17:27Z</dcterms:created>
  <dcterms:modified xsi:type="dcterms:W3CDTF">2026-02-27T16:49:49Z</dcterms:modified>
  <dc:language>en-US</dc:language>
</cp:coreProperties>
</file>